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/>
  <mc:AlternateContent xmlns:mc="http://schemas.openxmlformats.org/markup-compatibility/2006">
    <mc:Choice Requires="x15">
      <x15ac:absPath xmlns:x15ac="http://schemas.microsoft.com/office/spreadsheetml/2010/11/ac" url="https://d.docs.live.net/c68729c8098035d1/ドキュメント/自己管理/1.目標管理/プログラミング/Python/プロジェクト/LDTPapp/要件定義/設定ファイル/原本/"/>
    </mc:Choice>
  </mc:AlternateContent>
  <xr:revisionPtr revIDLastSave="3" documentId="11_F1932CA42BAE515981BD83162766BBA2FE2C14BF" xr6:coauthVersionLast="47" xr6:coauthVersionMax="47" xr10:uidLastSave="{CAFB18C0-254F-44EA-A272-0E647582F501}"/>
  <bookViews>
    <workbookView xWindow="1920" yWindow="0" windowWidth="17196" windowHeight="12240" xr2:uid="{00000000-000D-0000-FFFF-FFFF00000000}"/>
  </bookViews>
  <sheets>
    <sheet name="共通情報" sheetId="1" r:id="rId1"/>
    <sheet name="計画書" sheetId="2" r:id="rId2"/>
  </sheets>
  <definedNames>
    <definedName name="_xlnm.Print_Area" localSheetId="1">計画書!$A$1:$J$34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3" i="2" s="1"/>
  <c r="B4" i="1"/>
  <c r="B5" i="1"/>
  <c r="D3" i="2" s="1"/>
  <c r="B6" i="1"/>
  <c r="C4" i="2" s="1"/>
  <c r="B7" i="1"/>
  <c r="H2" i="2" s="1"/>
  <c r="B8" i="1"/>
  <c r="B9" i="1"/>
  <c r="H32" i="2" s="1"/>
  <c r="B10" i="1"/>
  <c r="B11" i="1"/>
  <c r="H3" i="2" s="1"/>
  <c r="B12" i="1"/>
  <c r="C32" i="2" s="1"/>
  <c r="B13" i="1"/>
  <c r="D6" i="2" s="1"/>
  <c r="B14" i="1"/>
  <c r="E6" i="2" s="1"/>
  <c r="B15" i="1"/>
  <c r="B8" i="2" s="1"/>
  <c r="B16" i="1"/>
  <c r="B17" i="1"/>
  <c r="C15" i="2" s="1"/>
  <c r="B18" i="1"/>
  <c r="D18" i="2" s="1"/>
  <c r="B19" i="1"/>
  <c r="D19" i="2" s="1"/>
  <c r="B20" i="1"/>
  <c r="F19" i="2" s="1"/>
  <c r="B21" i="1"/>
  <c r="D20" i="2" s="1"/>
  <c r="B22" i="1"/>
  <c r="F21" i="2" s="1"/>
  <c r="B23" i="1"/>
  <c r="B24" i="1"/>
  <c r="C23" i="2" s="1"/>
  <c r="B25" i="1"/>
  <c r="C25" i="2" s="1"/>
  <c r="B26" i="1"/>
  <c r="B2" i="1"/>
  <c r="C26" i="2"/>
  <c r="B11" i="2"/>
  <c r="E2" i="2" l="1"/>
  <c r="B32" i="2"/>
  <c r="E4" i="2"/>
</calcChain>
</file>

<file path=xl/sharedStrings.xml><?xml version="1.0" encoding="utf-8"?>
<sst xmlns="http://schemas.openxmlformats.org/spreadsheetml/2006/main" count="80" uniqueCount="77">
  <si>
    <t>項目</t>
  </si>
  <si>
    <t>出力結果</t>
  </si>
  <si>
    <t>変数名</t>
  </si>
  <si>
    <t>患者ID</t>
  </si>
  <si>
    <t>patient_id</t>
  </si>
  <si>
    <t>氏名</t>
  </si>
  <si>
    <t>patient_name</t>
  </si>
  <si>
    <t>カナ</t>
  </si>
  <si>
    <t>kana</t>
  </si>
  <si>
    <t>性別</t>
  </si>
  <si>
    <t>gender</t>
  </si>
  <si>
    <t>生年月日</t>
  </si>
  <si>
    <t>birthdate</t>
  </si>
  <si>
    <t>発行日</t>
  </si>
  <si>
    <t>issue_date</t>
  </si>
  <si>
    <t>医師ID</t>
  </si>
  <si>
    <t>doctor_id</t>
  </si>
  <si>
    <t>医師名</t>
  </si>
  <si>
    <t>doctor_name</t>
  </si>
  <si>
    <t>診療科</t>
  </si>
  <si>
    <t>department</t>
  </si>
  <si>
    <t>主病名</t>
  </si>
  <si>
    <t>main_diagnosis</t>
  </si>
  <si>
    <t>作成回数</t>
  </si>
  <si>
    <t>creation_count</t>
  </si>
  <si>
    <t>目標体重</t>
  </si>
  <si>
    <t>target_weight</t>
  </si>
  <si>
    <t>シート名</t>
  </si>
  <si>
    <t>sheet_name</t>
  </si>
  <si>
    <t>達成目標</t>
  </si>
  <si>
    <t>goal1</t>
  </si>
  <si>
    <t>行動目標</t>
  </si>
  <si>
    <t>goal2</t>
  </si>
  <si>
    <t>食事</t>
  </si>
  <si>
    <t>exercise_prescription</t>
  </si>
  <si>
    <t>exercise_time</t>
  </si>
  <si>
    <t>exercise_frequency</t>
  </si>
  <si>
    <t>exercise_intensity</t>
  </si>
  <si>
    <t>日常生活の活動量</t>
  </si>
  <si>
    <t>daily_activity</t>
  </si>
  <si>
    <t>非喫煙者</t>
  </si>
  <si>
    <t>nonsmoker</t>
  </si>
  <si>
    <t>True</t>
  </si>
  <si>
    <t>smoking_cessation</t>
  </si>
  <si>
    <t>その他1</t>
  </si>
  <si>
    <t>other1</t>
  </si>
  <si>
    <t>その他2</t>
  </si>
  <si>
    <t>other2</t>
  </si>
  <si>
    <t>氏名　　　　　　　　</t>
  </si>
  <si>
    <t>【目標】</t>
  </si>
  <si>
    <t>印刷＋ＰＤＦ</t>
  </si>
  <si>
    <t>【②行動目標】：患者と相談した目標</t>
  </si>
  <si>
    <t>【重点を置く料域と指導項目】</t>
  </si>
  <si>
    <t>運動</t>
  </si>
  <si>
    <t>たばこ</t>
  </si>
  <si>
    <t>その他</t>
  </si>
  <si>
    <t>【検査】</t>
  </si>
  <si>
    <t>医師氏名</t>
  </si>
  <si>
    <t>生活習慣病 療養計画書</t>
    <phoneticPr fontId="1"/>
  </si>
  <si>
    <t>主病:</t>
    <phoneticPr fontId="1"/>
  </si>
  <si>
    <t>体重</t>
    <phoneticPr fontId="1"/>
  </si>
  <si>
    <t>血圧 （１３０/８０ｍｍHｇ）</t>
    <phoneticPr fontId="1"/>
  </si>
  <si>
    <t>diet</t>
    <phoneticPr fontId="1"/>
  </si>
  <si>
    <t>運動処方:</t>
    <phoneticPr fontId="1"/>
  </si>
  <si>
    <t>時間:</t>
    <phoneticPr fontId="1"/>
  </si>
  <si>
    <t>頻度:</t>
    <phoneticPr fontId="1"/>
  </si>
  <si>
    <t>強度:</t>
    <phoneticPr fontId="1"/>
  </si>
  <si>
    <t>運動処方：</t>
    <phoneticPr fontId="1"/>
  </si>
  <si>
    <t>頻度：</t>
    <phoneticPr fontId="1"/>
  </si>
  <si>
    <t>日常生活での活動量の増加</t>
    <phoneticPr fontId="1"/>
  </si>
  <si>
    <t>血液検査項目は別紙参照</t>
    <rPh sb="7" eb="11">
      <t>ベッシサンショウ</t>
    </rPh>
    <phoneticPr fontId="1"/>
  </si>
  <si>
    <t>禁煙の実施方法等を指示</t>
    <phoneticPr fontId="1"/>
  </si>
  <si>
    <t xml:space="preserve"> </t>
    <phoneticPr fontId="1"/>
  </si>
  <si>
    <t>発行日</t>
    <rPh sb="0" eb="3">
      <t>ハッコウビ</t>
    </rPh>
    <phoneticPr fontId="1"/>
  </si>
  <si>
    <t>時間：</t>
    <phoneticPr fontId="1"/>
  </si>
  <si>
    <t>【①達成目標】：患者と相談した目標</t>
    <phoneticPr fontId="1"/>
  </si>
  <si>
    <t>強度：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</si>
</sst>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General&quot;才&quot;"/>
    <numFmt numFmtId="177" formatCode="yyyy&quot;年&quot;m&quot;月&quot;d&quot;日&quot;;@"/>
    <numFmt numFmtId="178" formatCode="yyyy/m/d;@"/>
    <numFmt numFmtId="179" formatCode="0.0&quot;kg&quot;"/>
  </numFmts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2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4" fillId="0" borderId="0" xfId="0" applyFont="1">
      <alignment vertical="center"/>
    </xf>
    <xf numFmtId="0" fontId="4" fillId="0" borderId="15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2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25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6" xfId="0" applyFont="1" applyBorder="1">
      <alignment vertical="center"/>
    </xf>
    <xf numFmtId="0" fontId="3" fillId="0" borderId="17" xfId="0" applyFont="1" applyBorder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/>
    <xf numFmtId="0" fontId="8" fillId="0" borderId="13" xfId="0" applyFont="1" applyBorder="1">
      <alignment vertical="center"/>
    </xf>
    <xf numFmtId="179" fontId="8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35" xfId="0" applyFont="1" applyBorder="1">
      <alignment vertical="center"/>
    </xf>
    <xf numFmtId="0" fontId="3" fillId="0" borderId="32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5" xfId="0" applyFont="1" applyBorder="1">
      <alignment vertical="center"/>
    </xf>
    <xf numFmtId="176" fontId="7" fillId="0" borderId="6" xfId="0" applyNumberFormat="1" applyFont="1" applyBorder="1">
      <alignment vertical="center"/>
    </xf>
    <xf numFmtId="0" fontId="3" fillId="0" borderId="7" xfId="0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3" fillId="0" borderId="20" xfId="0" applyFont="1" applyBorder="1" applyAlignment="1">
      <alignment vertical="top"/>
    </xf>
    <xf numFmtId="0" fontId="3" fillId="0" borderId="35" xfId="0" applyFont="1" applyBorder="1" applyAlignment="1">
      <alignment vertical="top"/>
    </xf>
    <xf numFmtId="0" fontId="3" fillId="0" borderId="0" xfId="0" applyFont="1" applyAlignment="1">
      <alignment vertical="top"/>
    </xf>
    <xf numFmtId="0" fontId="3" fillId="0" borderId="15" xfId="0" applyFont="1" applyBorder="1" applyAlignment="1">
      <alignment vertical="top"/>
    </xf>
    <xf numFmtId="0" fontId="3" fillId="0" borderId="24" xfId="0" applyFont="1" applyBorder="1" applyAlignment="1">
      <alignment vertical="center" textRotation="255"/>
    </xf>
    <xf numFmtId="0" fontId="0" fillId="0" borderId="21" xfId="0" applyBorder="1" applyAlignment="1"/>
    <xf numFmtId="0" fontId="0" fillId="0" borderId="33" xfId="0" applyBorder="1" applyAlignment="1"/>
    <xf numFmtId="0" fontId="5" fillId="0" borderId="0" xfId="0" applyFont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0" fillId="0" borderId="12" xfId="0" applyBorder="1" applyAlignment="1"/>
    <xf numFmtId="0" fontId="5" fillId="0" borderId="34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7" xfId="0" applyBorder="1" applyAlignment="1"/>
    <xf numFmtId="0" fontId="0" fillId="0" borderId="3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31" xfId="0" applyFont="1" applyBorder="1" applyAlignment="1">
      <alignment vertical="center" textRotation="255"/>
    </xf>
    <xf numFmtId="0" fontId="0" fillId="0" borderId="22" xfId="0" applyBorder="1" applyAlignment="1"/>
    <xf numFmtId="0" fontId="3" fillId="0" borderId="23" xfId="0" applyFont="1" applyBorder="1" applyAlignment="1">
      <alignment vertical="center" textRotation="255"/>
    </xf>
    <xf numFmtId="177" fontId="7" fillId="0" borderId="11" xfId="0" applyNumberFormat="1" applyFont="1" applyBorder="1" applyAlignment="1">
      <alignment horizontal="center" vertical="center" shrinkToFit="1"/>
    </xf>
    <xf numFmtId="0" fontId="9" fillId="0" borderId="11" xfId="0" applyFont="1" applyBorder="1" applyAlignment="1"/>
    <xf numFmtId="0" fontId="4" fillId="0" borderId="28" xfId="0" applyFont="1" applyBorder="1" applyAlignment="1">
      <alignment horizontal="center" vertical="center"/>
    </xf>
    <xf numFmtId="178" fontId="7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/>
    <xf numFmtId="0" fontId="7" fillId="0" borderId="2" xfId="0" applyFont="1" applyBorder="1" applyAlignment="1">
      <alignment horizontal="center" vertical="center"/>
    </xf>
    <xf numFmtId="0" fontId="9" fillId="0" borderId="2" xfId="0" applyFont="1" applyBorder="1" applyAlignment="1"/>
    <xf numFmtId="0" fontId="4" fillId="0" borderId="29" xfId="0" applyFont="1" applyBorder="1">
      <alignment vertical="center"/>
    </xf>
    <xf numFmtId="0" fontId="0" fillId="0" borderId="8" xfId="0" applyBorder="1" applyAlignment="1"/>
    <xf numFmtId="0" fontId="0" fillId="0" borderId="11" xfId="0" applyBorder="1" applyAlignment="1"/>
    <xf numFmtId="0" fontId="3" fillId="0" borderId="35" xfId="0" applyFont="1" applyBorder="1" applyAlignment="1">
      <alignment vertical="top" shrinkToFit="1"/>
    </xf>
    <xf numFmtId="0" fontId="3" fillId="0" borderId="0" xfId="0" applyFont="1" applyAlignment="1">
      <alignment vertical="top" shrinkToFit="1"/>
    </xf>
    <xf numFmtId="0" fontId="3" fillId="0" borderId="15" xfId="0" applyFont="1" applyBorder="1" applyAlignment="1">
      <alignment vertical="top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26"/>
  <sheetViews>
    <sheetView tabSelected="1" zoomScaleNormal="100" workbookViewId="0"/>
  </sheetViews>
  <sheetFormatPr defaultRowHeight="13.2" x14ac:dyDescent="0.2"/>
  <cols>
    <col min="1" max="1" width="22.44140625" customWidth="1"/>
    <col min="2" max="2" width="64.109375" style="17" customWidth="1"/>
    <col min="3" max="3" width="18.21875" style="18" customWidth="1"/>
    <col min="4" max="4" width="13.88671875" style="18" customWidth="1"/>
  </cols>
  <sheetData>
    <row r="1" spans="1:3" x14ac:dyDescent="0.2">
      <c r="A1" t="s">
        <v>0</v>
      </c>
      <c r="B1" s="17" t="s">
        <v>1</v>
      </c>
      <c r="C1" t="s">
        <v>2</v>
      </c>
    </row>
    <row r="2" spans="1:3" x14ac:dyDescent="0.2">
      <c r="A2" t="s">
        <v>3</v>
      </c>
      <c r="B2" t="str">
        <f>""</f>
        <v/>
      </c>
      <c r="C2" t="s">
        <v>4</v>
      </c>
    </row>
    <row r="3" spans="1:3" x14ac:dyDescent="0.2">
      <c r="A3" t="s">
        <v>5</v>
      </c>
      <c r="B3" t="str">
        <f>""</f>
        <v/>
      </c>
      <c r="C3" t="s">
        <v>6</v>
      </c>
    </row>
    <row r="4" spans="1:3" x14ac:dyDescent="0.2">
      <c r="A4" t="s">
        <v>7</v>
      </c>
      <c r="B4" t="str">
        <f>""</f>
        <v/>
      </c>
      <c r="C4" t="s">
        <v>8</v>
      </c>
    </row>
    <row r="5" spans="1:3" x14ac:dyDescent="0.2">
      <c r="A5" t="s">
        <v>9</v>
      </c>
      <c r="B5" t="str">
        <f>""</f>
        <v/>
      </c>
      <c r="C5" t="s">
        <v>10</v>
      </c>
    </row>
    <row r="6" spans="1:3" x14ac:dyDescent="0.2">
      <c r="A6" t="s">
        <v>11</v>
      </c>
      <c r="B6" t="str">
        <f>""</f>
        <v/>
      </c>
      <c r="C6" t="s">
        <v>12</v>
      </c>
    </row>
    <row r="7" spans="1:3" x14ac:dyDescent="0.2">
      <c r="A7" t="s">
        <v>13</v>
      </c>
      <c r="B7" t="str">
        <f>""</f>
        <v/>
      </c>
      <c r="C7" t="s">
        <v>14</v>
      </c>
    </row>
    <row r="8" spans="1:3" x14ac:dyDescent="0.2">
      <c r="A8" t="s">
        <v>15</v>
      </c>
      <c r="B8" t="str">
        <f>""</f>
        <v/>
      </c>
      <c r="C8" t="s">
        <v>16</v>
      </c>
    </row>
    <row r="9" spans="1:3" x14ac:dyDescent="0.2">
      <c r="A9" t="s">
        <v>17</v>
      </c>
      <c r="B9" t="str">
        <f>""</f>
        <v/>
      </c>
      <c r="C9" t="s">
        <v>18</v>
      </c>
    </row>
    <row r="10" spans="1:3" x14ac:dyDescent="0.2">
      <c r="A10" t="s">
        <v>19</v>
      </c>
      <c r="B10" t="str">
        <f>""</f>
        <v/>
      </c>
      <c r="C10" t="s">
        <v>20</v>
      </c>
    </row>
    <row r="11" spans="1:3" ht="14.4" customHeight="1" x14ac:dyDescent="0.2">
      <c r="A11" s="16" t="s">
        <v>21</v>
      </c>
      <c r="B11" t="str">
        <f>""</f>
        <v/>
      </c>
      <c r="C11" t="s">
        <v>22</v>
      </c>
    </row>
    <row r="12" spans="1:3" ht="14.4" customHeight="1" x14ac:dyDescent="0.2">
      <c r="A12" s="16" t="s">
        <v>23</v>
      </c>
      <c r="B12" t="str">
        <f>""</f>
        <v/>
      </c>
      <c r="C12" t="s">
        <v>24</v>
      </c>
    </row>
    <row r="13" spans="1:3" ht="14.4" customHeight="1" x14ac:dyDescent="0.2">
      <c r="A13" s="16" t="s">
        <v>25</v>
      </c>
      <c r="B13" t="str">
        <f>""</f>
        <v/>
      </c>
      <c r="C13" t="s">
        <v>26</v>
      </c>
    </row>
    <row r="14" spans="1:3" ht="14.4" customHeight="1" x14ac:dyDescent="0.2">
      <c r="A14" s="16" t="s">
        <v>27</v>
      </c>
      <c r="B14" t="str">
        <f>""</f>
        <v/>
      </c>
      <c r="C14" t="s">
        <v>28</v>
      </c>
    </row>
    <row r="15" spans="1:3" x14ac:dyDescent="0.2">
      <c r="A15" t="s">
        <v>29</v>
      </c>
      <c r="B15" t="str">
        <f>""</f>
        <v/>
      </c>
      <c r="C15" t="s">
        <v>30</v>
      </c>
    </row>
    <row r="16" spans="1:3" x14ac:dyDescent="0.2">
      <c r="A16" t="s">
        <v>31</v>
      </c>
      <c r="B16" t="str">
        <f>""</f>
        <v/>
      </c>
      <c r="C16" t="s">
        <v>32</v>
      </c>
    </row>
    <row r="17" spans="1:4" x14ac:dyDescent="0.2">
      <c r="A17" t="s">
        <v>33</v>
      </c>
      <c r="B17" t="str">
        <f>""</f>
        <v/>
      </c>
      <c r="C17" t="s">
        <v>62</v>
      </c>
    </row>
    <row r="18" spans="1:4" x14ac:dyDescent="0.2">
      <c r="A18" t="s">
        <v>63</v>
      </c>
      <c r="B18" t="str">
        <f>""</f>
        <v/>
      </c>
      <c r="C18" t="s">
        <v>34</v>
      </c>
    </row>
    <row r="19" spans="1:4" x14ac:dyDescent="0.2">
      <c r="A19" t="s">
        <v>64</v>
      </c>
      <c r="B19" t="str">
        <f>""</f>
        <v/>
      </c>
      <c r="C19" t="s">
        <v>35</v>
      </c>
    </row>
    <row r="20" spans="1:4" x14ac:dyDescent="0.2">
      <c r="A20" t="s">
        <v>65</v>
      </c>
      <c r="B20" t="str">
        <f>""</f>
        <v/>
      </c>
      <c r="C20" t="s">
        <v>36</v>
      </c>
    </row>
    <row r="21" spans="1:4" x14ac:dyDescent="0.2">
      <c r="A21" t="s">
        <v>66</v>
      </c>
      <c r="B21" t="str">
        <f>""</f>
        <v/>
      </c>
      <c r="C21" t="s">
        <v>37</v>
      </c>
    </row>
    <row r="22" spans="1:4" x14ac:dyDescent="0.2">
      <c r="A22" t="s">
        <v>38</v>
      </c>
      <c r="B22" t="str">
        <f>""</f>
        <v/>
      </c>
      <c r="C22" t="s">
        <v>39</v>
      </c>
    </row>
    <row r="23" spans="1:4" x14ac:dyDescent="0.2">
      <c r="A23" t="s">
        <v>40</v>
      </c>
      <c r="B23" t="str">
        <f>""</f>
        <v/>
      </c>
      <c r="C23" t="s">
        <v>41</v>
      </c>
    </row>
    <row r="24" spans="1:4" x14ac:dyDescent="0.2">
      <c r="A24" t="s">
        <v>71</v>
      </c>
      <c r="B24" t="str">
        <f>""</f>
        <v/>
      </c>
      <c r="C24" t="s">
        <v>43</v>
      </c>
      <c r="D24" t="s">
        <v>42</v>
      </c>
    </row>
    <row r="25" spans="1:4" x14ac:dyDescent="0.2">
      <c r="A25" t="s">
        <v>44</v>
      </c>
      <c r="B25" t="str">
        <f>""</f>
        <v/>
      </c>
      <c r="C25" t="s">
        <v>45</v>
      </c>
    </row>
    <row r="26" spans="1:4" x14ac:dyDescent="0.2">
      <c r="A26" t="s">
        <v>46</v>
      </c>
      <c r="B26" t="str">
        <f>""</f>
        <v/>
      </c>
      <c r="C26" t="s">
        <v>47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M35"/>
  <sheetViews>
    <sheetView zoomScaleNormal="100" workbookViewId="0">
      <selection activeCell="L6" sqref="L6:M7"/>
    </sheetView>
  </sheetViews>
  <sheetFormatPr defaultColWidth="8.88671875" defaultRowHeight="13.2" x14ac:dyDescent="0.2"/>
  <cols>
    <col min="1" max="1" width="4.6640625" style="2" customWidth="1"/>
    <col min="2" max="10" width="9.109375" style="2" customWidth="1"/>
    <col min="11" max="16384" width="8.88671875" style="2"/>
  </cols>
  <sheetData>
    <row r="2" spans="1:13" ht="25.5" customHeight="1" thickBot="1" x14ac:dyDescent="0.25">
      <c r="A2" s="1" t="s">
        <v>58</v>
      </c>
      <c r="E2" s="1" t="str">
        <f>IF(共通情報!B12=1,"初回用","継続用")</f>
        <v>継続用</v>
      </c>
      <c r="G2" s="25" t="s">
        <v>73</v>
      </c>
      <c r="H2" s="55" t="str">
        <f>共通情報!B7</f>
        <v/>
      </c>
      <c r="I2" s="56"/>
    </row>
    <row r="3" spans="1:13" ht="21.75" customHeight="1" thickBot="1" x14ac:dyDescent="0.25">
      <c r="A3" s="26" t="s">
        <v>48</v>
      </c>
      <c r="B3" s="60" t="str">
        <f>共通情報!B3</f>
        <v/>
      </c>
      <c r="C3" s="61"/>
      <c r="D3" s="27" t="str">
        <f>共通情報!B5</f>
        <v/>
      </c>
      <c r="E3" s="28"/>
      <c r="G3" s="57" t="s">
        <v>59</v>
      </c>
      <c r="H3" s="62" t="str">
        <f>共通情報!B11</f>
        <v/>
      </c>
      <c r="I3" s="63"/>
      <c r="J3" s="43"/>
    </row>
    <row r="4" spans="1:13" ht="21.75" customHeight="1" thickBot="1" x14ac:dyDescent="0.25">
      <c r="A4" s="29" t="s">
        <v>11</v>
      </c>
      <c r="B4" s="30"/>
      <c r="C4" s="58" t="str">
        <f>共通情報!B6</f>
        <v/>
      </c>
      <c r="D4" s="59"/>
      <c r="E4" s="31" t="e">
        <f>ROUND((H2-C4)/365, 0)</f>
        <v>#VALUE!</v>
      </c>
      <c r="G4" s="44"/>
      <c r="H4" s="64"/>
      <c r="I4" s="64"/>
      <c r="J4" s="45"/>
    </row>
    <row r="5" spans="1:13" ht="21.75" customHeight="1" thickBot="1" x14ac:dyDescent="0.25"/>
    <row r="6" spans="1:13" ht="18" customHeight="1" thickTop="1" thickBot="1" x14ac:dyDescent="0.25">
      <c r="A6" s="54" t="s">
        <v>49</v>
      </c>
      <c r="B6" s="3" t="s">
        <v>49</v>
      </c>
      <c r="C6" s="19" t="s">
        <v>60</v>
      </c>
      <c r="D6" s="20" t="str">
        <f>共通情報!B13</f>
        <v/>
      </c>
      <c r="E6" s="21" t="str">
        <f>共通情報!B14</f>
        <v/>
      </c>
      <c r="F6" s="3"/>
      <c r="G6" s="3" t="s">
        <v>61</v>
      </c>
      <c r="H6" s="3"/>
      <c r="I6" s="3"/>
      <c r="J6" s="4"/>
      <c r="L6" s="42" t="s">
        <v>50</v>
      </c>
      <c r="M6" s="43"/>
    </row>
    <row r="7" spans="1:13" ht="18" customHeight="1" thickBot="1" x14ac:dyDescent="0.25">
      <c r="A7" s="39"/>
      <c r="B7" s="2" t="s">
        <v>75</v>
      </c>
      <c r="J7" s="5"/>
      <c r="L7" s="44"/>
      <c r="M7" s="45"/>
    </row>
    <row r="8" spans="1:13" ht="18" customHeight="1" x14ac:dyDescent="0.2">
      <c r="A8" s="39"/>
      <c r="B8" s="2" t="str">
        <f>共通情報!B15</f>
        <v/>
      </c>
      <c r="J8" s="5"/>
    </row>
    <row r="9" spans="1:13" ht="16.5" customHeight="1" x14ac:dyDescent="0.2">
      <c r="A9" s="39"/>
      <c r="C9" s="6"/>
      <c r="J9" s="7"/>
    </row>
    <row r="10" spans="1:13" ht="18" customHeight="1" x14ac:dyDescent="0.2">
      <c r="A10" s="39"/>
      <c r="B10" s="2" t="s">
        <v>51</v>
      </c>
      <c r="J10" s="5"/>
    </row>
    <row r="11" spans="1:13" ht="18" customHeight="1" x14ac:dyDescent="0.2">
      <c r="A11" s="39"/>
      <c r="B11" s="2" t="str">
        <f>共通情報!B16</f>
        <v/>
      </c>
      <c r="J11" s="5"/>
    </row>
    <row r="12" spans="1:13" ht="19.5" customHeight="1" thickBot="1" x14ac:dyDescent="0.25">
      <c r="A12" s="40"/>
      <c r="C12" s="6"/>
      <c r="J12" s="7"/>
    </row>
    <row r="13" spans="1:13" ht="18" customHeight="1" thickBot="1" x14ac:dyDescent="0.25">
      <c r="A13" s="38" t="s">
        <v>52</v>
      </c>
      <c r="B13" s="46" t="s">
        <v>33</v>
      </c>
      <c r="C13" s="32"/>
      <c r="D13" s="33"/>
      <c r="E13" s="33"/>
      <c r="F13" s="33"/>
      <c r="G13" s="33"/>
      <c r="H13" s="33"/>
      <c r="I13" s="33"/>
      <c r="J13" s="34"/>
    </row>
    <row r="14" spans="1:13" ht="18" customHeight="1" x14ac:dyDescent="0.2">
      <c r="A14" s="39"/>
      <c r="B14" s="47"/>
      <c r="C14" s="35"/>
      <c r="D14" s="36"/>
      <c r="E14" s="36"/>
      <c r="F14" s="36"/>
      <c r="G14" s="36"/>
      <c r="H14" s="36"/>
      <c r="I14" s="36"/>
      <c r="J14" s="37"/>
    </row>
    <row r="15" spans="1:13" ht="18" customHeight="1" x14ac:dyDescent="0.2">
      <c r="A15" s="39"/>
      <c r="B15" s="47"/>
      <c r="C15" s="65" t="str">
        <f>共通情報!B17</f>
        <v/>
      </c>
      <c r="D15" s="66"/>
      <c r="E15" s="66"/>
      <c r="F15" s="66"/>
      <c r="G15" s="66"/>
      <c r="H15" s="66"/>
      <c r="I15" s="66"/>
      <c r="J15" s="67"/>
    </row>
    <row r="16" spans="1:13" ht="18" customHeight="1" x14ac:dyDescent="0.2">
      <c r="A16" s="39"/>
      <c r="B16" s="47"/>
      <c r="C16" s="35"/>
      <c r="D16" s="36"/>
      <c r="E16" s="36"/>
      <c r="F16" s="36"/>
      <c r="G16" s="36"/>
      <c r="H16" s="36"/>
      <c r="I16" s="36"/>
      <c r="J16" s="37"/>
    </row>
    <row r="17" spans="1:10" ht="18" customHeight="1" thickBot="1" x14ac:dyDescent="0.25">
      <c r="A17" s="39"/>
      <c r="B17" s="48"/>
      <c r="C17" s="10"/>
      <c r="D17" s="10"/>
      <c r="E17" s="10"/>
      <c r="F17" s="10"/>
      <c r="G17" s="10"/>
      <c r="H17" s="10"/>
      <c r="I17" s="10"/>
      <c r="J17" s="11"/>
    </row>
    <row r="18" spans="1:10" ht="18" customHeight="1" thickBot="1" x14ac:dyDescent="0.25">
      <c r="A18" s="39"/>
      <c r="B18" s="46" t="s">
        <v>53</v>
      </c>
      <c r="C18" s="2" t="s">
        <v>67</v>
      </c>
      <c r="D18" s="2" t="str">
        <f>共通情報!B18</f>
        <v/>
      </c>
      <c r="J18" s="5"/>
    </row>
    <row r="19" spans="1:10" ht="18" customHeight="1" x14ac:dyDescent="0.2">
      <c r="A19" s="39"/>
      <c r="B19" s="47"/>
      <c r="C19" s="22" t="s">
        <v>74</v>
      </c>
      <c r="D19" s="2" t="str">
        <f>共通情報!B19</f>
        <v/>
      </c>
      <c r="E19" s="22" t="s">
        <v>68</v>
      </c>
      <c r="F19" t="str">
        <f>共通情報!B20</f>
        <v/>
      </c>
      <c r="J19" s="5"/>
    </row>
    <row r="20" spans="1:10" ht="18" customHeight="1" x14ac:dyDescent="0.2">
      <c r="A20" s="39"/>
      <c r="B20" s="47"/>
      <c r="C20" s="22" t="s">
        <v>76</v>
      </c>
      <c r="D20" s="2" t="str">
        <f>共通情報!B21</f>
        <v/>
      </c>
      <c r="J20" s="5"/>
    </row>
    <row r="21" spans="1:10" ht="18" customHeight="1" x14ac:dyDescent="0.2">
      <c r="A21" s="39"/>
      <c r="B21" s="47"/>
      <c r="C21" s="2" t="s">
        <v>69</v>
      </c>
      <c r="F21" s="2" t="str">
        <f>共通情報!B22</f>
        <v/>
      </c>
      <c r="J21" s="5"/>
    </row>
    <row r="22" spans="1:10" ht="18" customHeight="1" thickBot="1" x14ac:dyDescent="0.25">
      <c r="A22" s="39"/>
      <c r="B22" s="48"/>
      <c r="J22" s="5"/>
    </row>
    <row r="23" spans="1:10" ht="18" customHeight="1" thickBot="1" x14ac:dyDescent="0.25">
      <c r="A23" s="39"/>
      <c r="B23" s="46" t="s">
        <v>54</v>
      </c>
      <c r="C23" s="12" t="str">
        <f>IF(共通情報!B24=共通情報!D24,"禁煙の実施方法等を指示","非喫煙者である")</f>
        <v>非喫煙者である</v>
      </c>
      <c r="D23" s="8"/>
      <c r="E23" s="8"/>
      <c r="F23" s="8"/>
      <c r="G23" s="8"/>
      <c r="H23" s="8"/>
      <c r="I23" s="8"/>
      <c r="J23" s="9"/>
    </row>
    <row r="24" spans="1:10" ht="18" customHeight="1" thickBot="1" x14ac:dyDescent="0.25">
      <c r="A24" s="39"/>
      <c r="B24" s="48"/>
      <c r="C24" s="13"/>
      <c r="D24" s="10"/>
      <c r="E24" s="10"/>
      <c r="F24" s="10"/>
      <c r="G24" s="10"/>
      <c r="H24" s="10"/>
      <c r="I24" s="10"/>
      <c r="J24" s="11"/>
    </row>
    <row r="25" spans="1:10" ht="18" customHeight="1" thickBot="1" x14ac:dyDescent="0.25">
      <c r="A25" s="39"/>
      <c r="B25" s="46" t="s">
        <v>55</v>
      </c>
      <c r="C25" s="2" t="str">
        <f>共通情報!B25</f>
        <v/>
      </c>
      <c r="J25" s="5"/>
    </row>
    <row r="26" spans="1:10" ht="18" customHeight="1" x14ac:dyDescent="0.2">
      <c r="A26" s="39"/>
      <c r="B26" s="47"/>
      <c r="C26" s="2" t="str">
        <f>共通情報!B26</f>
        <v/>
      </c>
      <c r="J26" s="5"/>
    </row>
    <row r="27" spans="1:10" ht="18" customHeight="1" thickBot="1" x14ac:dyDescent="0.25">
      <c r="A27" s="40"/>
      <c r="B27" s="48"/>
      <c r="J27" s="5"/>
    </row>
    <row r="28" spans="1:10" ht="18" customHeight="1" thickBot="1" x14ac:dyDescent="0.25">
      <c r="A28" s="52" t="s">
        <v>56</v>
      </c>
      <c r="B28" s="8"/>
      <c r="C28" s="8"/>
      <c r="D28" s="8"/>
      <c r="E28" s="8"/>
      <c r="F28" s="8"/>
      <c r="G28" s="8"/>
      <c r="H28" s="8"/>
      <c r="I28" s="8"/>
      <c r="J28" s="9"/>
    </row>
    <row r="29" spans="1:10" ht="18" customHeight="1" thickTop="1" x14ac:dyDescent="0.2">
      <c r="A29" s="39"/>
      <c r="B29" s="23" t="s">
        <v>70</v>
      </c>
      <c r="J29" s="5"/>
    </row>
    <row r="30" spans="1:10" ht="18" customHeight="1" thickBot="1" x14ac:dyDescent="0.25">
      <c r="A30" s="53"/>
      <c r="B30" s="14"/>
      <c r="C30" s="14"/>
      <c r="D30" s="14"/>
      <c r="E30" s="14"/>
      <c r="F30" s="14"/>
      <c r="G30" s="14"/>
      <c r="H30" s="14"/>
      <c r="I30" s="14"/>
      <c r="J30" s="15"/>
    </row>
    <row r="31" spans="1:10" ht="17.25" customHeight="1" thickTop="1" x14ac:dyDescent="0.2"/>
    <row r="32" spans="1:10" ht="30" customHeight="1" x14ac:dyDescent="0.2">
      <c r="B32" s="24" t="str">
        <f>IF(共通情報!B12=1,"患者署名","患者氏名")</f>
        <v>患者氏名</v>
      </c>
      <c r="C32" s="49" t="str">
        <f>IF(共通情報!B12=1,"",共通情報!B3)</f>
        <v/>
      </c>
      <c r="D32" s="50"/>
      <c r="E32" s="51"/>
      <c r="G32" s="24" t="s">
        <v>57</v>
      </c>
      <c r="H32" s="49" t="str">
        <f>共通情報!B9</f>
        <v/>
      </c>
      <c r="I32" s="50"/>
      <c r="J32" s="51"/>
    </row>
    <row r="33" spans="1:10" ht="17.25" customHeight="1" x14ac:dyDescent="0.2"/>
    <row r="34" spans="1:10" ht="26.25" customHeight="1" x14ac:dyDescent="0.2">
      <c r="A34" s="41"/>
      <c r="B34" s="41"/>
      <c r="C34" s="41"/>
      <c r="D34" s="41"/>
      <c r="E34" s="41"/>
      <c r="F34" s="41"/>
      <c r="G34" s="41"/>
      <c r="H34" s="41"/>
      <c r="I34" s="41"/>
      <c r="J34" s="41"/>
    </row>
    <row r="35" spans="1:10" x14ac:dyDescent="0.2">
      <c r="H35" s="2" t="s">
        <v>72</v>
      </c>
    </row>
  </sheetData>
  <mergeCells count="17">
    <mergeCell ref="H2:I2"/>
    <mergeCell ref="G3:G4"/>
    <mergeCell ref="B18:B22"/>
    <mergeCell ref="B23:B24"/>
    <mergeCell ref="B13:B17"/>
    <mergeCell ref="C4:D4"/>
    <mergeCell ref="B3:C3"/>
    <mergeCell ref="H3:J4"/>
    <mergeCell ref="C15:J15"/>
    <mergeCell ref="A13:A27"/>
    <mergeCell ref="A34:J34"/>
    <mergeCell ref="L6:M7"/>
    <mergeCell ref="B25:B27"/>
    <mergeCell ref="H32:J32"/>
    <mergeCell ref="C32:E32"/>
    <mergeCell ref="A28:A30"/>
    <mergeCell ref="A6:A12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共通情報</vt:lpstr>
      <vt:lpstr>計画書</vt:lpstr>
      <vt:lpstr>計画書!Print_Area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正治 本多</dc:creator>
  <cp:lastModifiedBy>康宏 岡本</cp:lastModifiedBy>
  <cp:lastPrinted>2024-05-10T06:52:29Z</cp:lastPrinted>
  <dcterms:created xsi:type="dcterms:W3CDTF">2024-03-22T06:11:42Z</dcterms:created>
  <dcterms:modified xsi:type="dcterms:W3CDTF">2024-05-13T10:21:38Z</dcterms:modified>
</cp:coreProperties>
</file>